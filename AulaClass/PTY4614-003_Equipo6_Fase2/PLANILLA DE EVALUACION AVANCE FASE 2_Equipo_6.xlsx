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6\"/>
    </mc:Choice>
  </mc:AlternateContent>
  <xr:revisionPtr revIDLastSave="0" documentId="13_ncr:1_{D20634EA-3295-48C7-B214-5BB5FC34B720}"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<sst xmlns="http://schemas.openxmlformats.org/spreadsheetml/2006/main" count="85" uniqueCount="67">
  <si>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</si>
  <si>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</si>
  <si>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</si>
  <si>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</si>
  <si>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</si>
  <si>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</si>
  <si>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</si>
  <si>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</si>
  <si>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</si>
  <si>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</si>
  <si>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</si>
  <si>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</si>
  <si>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</si>
  <si>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</si>
  <si>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</si>
  <si>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</si>
  <si>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</si>
  <si>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</si>
  <si>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</si>
  <si>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</si>
  <si>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</si>
  <si>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</si>
  <si>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</si>
  <si>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</si>
  <si>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</si>
  <si>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</si>
  <si>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</si>
  <si>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</si>
  <si>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</si>
  <si>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</si>
  <si>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</si>
  <si>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</si>
  <si>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</si>
  <si>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</si>
  <si>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</si>
  <si>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</si>
  <si>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</si>
  <si>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</si>
  <si>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</si>
  <si>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</si>
  <si>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</si>
  <si>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</si>
  <si>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</si>
  <si>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</si>
  <si>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</si>
  <si>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</si>
  <si>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</si>
  <si>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</si>
  <si>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</si>
  <si>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</si>
  <si>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</si>
  <si>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</si>
  <si>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</si>
  <si>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</si>
  <si>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</si>
  <si>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</si>
  <si>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</si>
  <si>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</si>
  <si>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</si>
  <si>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</si>
  <si>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</si>
  <si>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</si>
  <si>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</si>
  <si>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</si>
  <si>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Jordy Bazan</t>
  </si>
  <si>
    <t>Sebastian Salamanca</t>
  </si>
  <si>
    <t>Tomás González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</si>
</sst>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9" sqref="D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64</v>
      </c>
      <c r="C4" s="5">
        <f>EVALUACION2!$C$22</f>
        <v>7</v>
      </c>
      <c r="G4" s="1"/>
    </row>
    <row r="5" spans="1:11">
      <c r="A5" s="4">
        <v>2</v>
      </c>
      <c r="B5" s="25" t="s">
        <v>65</v>
      </c>
      <c r="C5" s="5">
        <f>EVALUACION2!$C$22</f>
        <v>7</v>
      </c>
      <c r="G5" s="1"/>
    </row>
    <row r="6" spans="1:11">
      <c r="A6" s="4">
        <v>3</v>
      </c>
      <c r="B6" s="25" t="s">
        <v>66</v>
      </c>
      <c r="C6" s="5">
        <f>EVALUACION2!$C$22</f>
        <v>7</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t="s">
        <v>63</v>
      </c>
      <c r="E19" s="15">
        <f>IF(D19="X",100*0.15,"")</f>
        <v>15</v>
      </c>
      <c r="F19" s="15"/>
      <c r="G19" s="15" t="str">
        <f>IF(F19="X",60*0.15,"")</f>
        <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c r="A22" s="43"/>
      <c r="B22" s="30" t="s">
        <v>13</v>
      </c>
      <c r="C22" s="17">
        <f>VLOOKUP(C21,ESCALA_IEP!A2:B202,2,FALSE)</f>
        <v>7</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Patricio</cp:lastModifiedBy>
  <dcterms:created xsi:type="dcterms:W3CDTF">2023-08-07T04:08:01Z</dcterms:created>
  <dcterms:modified xsi:type="dcterms:W3CDTF">2025-11-27T12:44:02Z</dcterms:modified>
</cp:coreProperties>
</file>