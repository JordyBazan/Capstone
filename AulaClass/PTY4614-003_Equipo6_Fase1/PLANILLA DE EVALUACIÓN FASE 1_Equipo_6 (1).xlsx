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Capstone_2H_25\Capstone_003\"/>
    </mc:Choice>
  </mc:AlternateContent>
  <xr:revisionPtr revIDLastSave="0" documentId="13_ncr:1_{9D99C706-796A-4818-A489-BF09FD92CDD9}"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D19" i="1"/>
  <c r="E19" i="1" s="1"/>
  <c r="F19" i="1"/>
  <c r="G19" i="1" s="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E18" i="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<sst xmlns="http://schemas.openxmlformats.org/spreadsheetml/2006/main" count="162" uniqueCount="99">
  <si>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</si>
  <si>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</si>
  <si>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</si>
  <si>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</si>
  <si>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</si>
  <si>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</si>
  <si>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</si>
  <si>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</si>
  <si>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</si>
  <si>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</si>
  <si>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</si>
  <si>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</si>
  <si>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</si>
  <si>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</si>
  <si>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</si>
  <si>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</si>
  <si>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</si>
  <si>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</si>
  <si>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</si>
  <si>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</si>
  <si>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</si>
  <si>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</si>
  <si>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</si>
  <si>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</si>
  <si>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</si>
  <si>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</si>
  <si>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</si>
  <si>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</si>
  <si>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</si>
  <si>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</si>
  <si>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</si>
  <si>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</si>
  <si>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</si>
  <si>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</si>
  <si>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</si>
  <si>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</si>
  <si>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</si>
  <si>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</si>
  <si>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</si>
  <si>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</si>
  <si>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</si>
  <si>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</si>
  <si>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</si>
  <si>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</si>
  <si>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</si>
  <si>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</si>
  <si>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</si>
  <si>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</si>
  <si>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</si>
  <si>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</si>
  <si>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</si>
  <si>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</si>
  <si>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</si>
  <si>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</si>
  <si>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</si>
  <si>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</si>
  <si>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</si>
  <si>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</si>
  <si>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</si>
  <si>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</si>
  <si>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</si>
  <si>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</si>
  <si>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</si>
  <si>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</si>
  <si>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</si>
  <si>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</si>
  <si>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</si>
  <si>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</si>
  <si>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</si>
  <si>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</si>
  <si>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</si>
  <si>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</si>
  <si>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</si>
  <si>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</si>
  <si>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</si>
  <si>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</si>
  <si>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</si>
  <si>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</si>
  <si>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</si>
  <si>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</si>
  <si>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</si>
  <si>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</si>
  <si>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</si>
  <si>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</si>
  <si>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</si>
  <si>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</si>
  <si>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</si>
  <si>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</si>
  <si>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</si>
  <si>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</si>
  <si>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</si>
  <si>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</si>
  <si>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</si>
  <si>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</si>
  <si>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</si>
  <si>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Jordy Bazan</t>
  </si>
  <si>
    <t>Sebastian Salamanca</t>
  </si>
  <si>
    <t>Tomás González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</si>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</sst>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6" sqref="E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6</v>
      </c>
      <c r="E4" s="43">
        <f>C4*C$2+D4*D$2</f>
        <v>6.0749999999999993</v>
      </c>
      <c r="G4" s="1"/>
    </row>
    <row r="5" spans="1:11" x14ac:dyDescent="0.25">
      <c r="A5" s="5">
        <v>2</v>
      </c>
      <c r="B5" s="32" t="s">
        <v>96</v>
      </c>
      <c r="C5" s="6">
        <f>EVALUACION1!$C$24</f>
        <v>6.1</v>
      </c>
      <c r="D5" s="6">
        <f>C47</f>
        <v>6</v>
      </c>
      <c r="E5" s="43">
        <f t="shared" ref="E5:E6" si="0">C5*C$2+D5*D$2</f>
        <v>6.0749999999999993</v>
      </c>
      <c r="G5" s="1"/>
    </row>
    <row r="6" spans="1:11" x14ac:dyDescent="0.25">
      <c r="A6" s="5">
        <v>3</v>
      </c>
      <c r="B6" s="32" t="s">
        <v>97</v>
      </c>
      <c r="C6" s="6">
        <f>EVALUACION1!$C$24</f>
        <v>6.1</v>
      </c>
      <c r="D6" s="6">
        <f>C58</f>
        <v>6</v>
      </c>
      <c r="E6" s="43">
        <f t="shared" si="0"/>
        <v>6.0749999999999993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2">IF(D17="X",100*0.1,"")</f>
        <v/>
      </c>
      <c r="F17" s="16" t="s">
        <v>98</v>
      </c>
      <c r="G17" s="16">
        <f t="shared" ref="G17" si="13">IF(F17="X",60*0.1,"")</f>
        <v>6</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8">IF(D18="X",100*0.1,"")</f>
        <v/>
      </c>
      <c r="F18" s="16" t="s">
        <v>98</v>
      </c>
      <c r="G18" s="16">
        <f t="shared" ref="G18" si="19">IF(F18="X",60*0.1,"")</f>
        <v>6</v>
      </c>
      <c r="H18" s="16" t="str">
        <f t="shared" si="14"/>
        <v/>
      </c>
      <c r="I18" s="16" t="str">
        <f t="shared" ref="I18" si="20">IF(H18="X",30*0.1,"")</f>
        <v/>
      </c>
      <c r="J18" s="16" t="str">
        <f t="shared" si="16"/>
        <v/>
      </c>
      <c r="K18" s="16" t="str">
        <f t="shared" si="17"/>
        <v/>
      </c>
    </row>
    <row r="19" spans="1:11" ht="24" outlineLevel="1" x14ac:dyDescent="0.25">
      <c r="A19" s="65"/>
      <c r="B19" s="35" t="str">
        <f>RUBRICA!A12</f>
        <v>8. Determina evidencias, justificando cómo estas dan cuenta del logro de las actividades del Proyecto APT.</v>
      </c>
      <c r="C19" s="33" t="s">
        <v>7</v>
      </c>
      <c r="D19" s="16" t="str">
        <f t="shared" ref="D17:D22" si="21">IF($C19=CL,"X","")</f>
        <v>X</v>
      </c>
      <c r="E19" s="16">
        <f>IF(D19="X",100*0.05,"")</f>
        <v>5</v>
      </c>
      <c r="F19" s="16" t="str">
        <f t="shared" ref="F17:F22" si="22">IF($C19=L,"X","")</f>
        <v/>
      </c>
      <c r="G19" s="16" t="str">
        <f t="shared" ref="G19" si="23">IF(F19="X",60*0.05,"")</f>
        <v/>
      </c>
      <c r="H19" s="16" t="str">
        <f t="shared" si="14"/>
        <v/>
      </c>
      <c r="I19" s="16" t="str">
        <f t="shared" ref="I19" si="24">IF(H19="X",30*0.05,"")</f>
        <v/>
      </c>
      <c r="J19" s="16" t="str">
        <f t="shared" si="16"/>
        <v/>
      </c>
      <c r="K19" s="16" t="str">
        <f t="shared" si="17"/>
        <v/>
      </c>
    </row>
    <row r="20" spans="1:11" ht="24" outlineLevel="1" x14ac:dyDescent="0.25">
      <c r="A20" s="65"/>
      <c r="B20" s="35" t="str">
        <f>RUBRICA!A13</f>
        <v xml:space="preserve">9. Utiliza reglas de redacción, ortografía (literal, puntual, acentual) y las normas para citas y referencias. </v>
      </c>
      <c r="C20" s="33" t="s">
        <v>7</v>
      </c>
      <c r="D20" s="16" t="str">
        <f t="shared" si="21"/>
        <v>X</v>
      </c>
      <c r="E20" s="16">
        <f>IF(D20="X",100*0.05,"")</f>
        <v>5</v>
      </c>
      <c r="F20" s="16" t="str">
        <f t="shared" si="22"/>
        <v/>
      </c>
      <c r="G20" s="16" t="str">
        <f t="shared" si="10"/>
        <v/>
      </c>
      <c r="H20" s="16" t="str">
        <f t="shared" si="14"/>
        <v/>
      </c>
      <c r="I20" s="16" t="str">
        <f t="shared" si="11"/>
        <v/>
      </c>
      <c r="J20" s="16" t="str">
        <f t="shared" si="16"/>
        <v/>
      </c>
      <c r="K20" s="16" t="str">
        <f t="shared" si="17"/>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21"/>
        <v>X</v>
      </c>
      <c r="E21" s="16">
        <f t="shared" si="9"/>
        <v>5</v>
      </c>
      <c r="F21" s="16" t="str">
        <f t="shared" si="22"/>
        <v/>
      </c>
      <c r="G21" s="16" t="str">
        <f t="shared" si="10"/>
        <v/>
      </c>
      <c r="H21" s="16" t="str">
        <f t="shared" si="14"/>
        <v/>
      </c>
      <c r="I21" s="16" t="str">
        <f t="shared" si="11"/>
        <v/>
      </c>
      <c r="J21" s="16" t="str">
        <f t="shared" si="16"/>
        <v/>
      </c>
      <c r="K21" s="16" t="str">
        <f t="shared" si="17"/>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21"/>
        <v>X</v>
      </c>
      <c r="E22" s="16">
        <f>IF(D22="X",100*0.1,"")</f>
        <v>10</v>
      </c>
      <c r="F22" s="16" t="str">
        <f t="shared" si="22"/>
        <v/>
      </c>
      <c r="G22" s="16" t="str">
        <f>IF(F22="X",60*0.1,"")</f>
        <v/>
      </c>
      <c r="H22" s="16" t="str">
        <f t="shared" si="14"/>
        <v/>
      </c>
      <c r="I22" s="16" t="str">
        <f>IF(H22="X",30*0.1,"")</f>
        <v/>
      </c>
      <c r="J22" s="16" t="str">
        <f t="shared" si="16"/>
        <v/>
      </c>
      <c r="K22" s="16" t="str">
        <f t="shared" si="17"/>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Jordy Bazan</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c r="E32" s="16" t="str">
        <f>IF(D32="X",100*0.1,"")</f>
        <v/>
      </c>
      <c r="F32" s="16" t="s">
        <v>98</v>
      </c>
      <c r="G32" s="16">
        <f>IF(F32="X",60*0.1,"")</f>
        <v>6</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Sebastian Salamanca</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c r="E44" s="16" t="str">
        <f>IF(D44="X",100*0.1,"")</f>
        <v/>
      </c>
      <c r="F44" s="16" t="s">
        <v>98</v>
      </c>
      <c r="G44" s="16">
        <f>IF(F44="X",60*0.1,"")</f>
        <v>6</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Tomás González</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c r="E55" s="16" t="str">
        <f>IF(D55="X",100*0.1,"")</f>
        <v/>
      </c>
      <c r="F55" s="16" t="s">
        <v>98</v>
      </c>
      <c r="G55" s="16">
        <f>IF(F55="X",60*0.1,"")</f>
        <v>6</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2025-09-25T18:58:58Z</dcterms:modified>
  <cp:category/>
  <cp:contentStatus/>
</cp:coreProperties>
</file>